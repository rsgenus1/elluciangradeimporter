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<sst xmlns="http://schemas.openxmlformats.org/spreadsheetml/2006/main" count="86" uniqueCount="36">
  <si>
    <t xml:space="preserve">RUT</t>
  </si>
  <si>
    <t xml:space="preserve">Control 1</t>
  </si>
  <si>
    <t xml:space="preserve">Control 2</t>
  </si>
  <si>
    <t xml:space="preserve">Control 3</t>
  </si>
  <si>
    <t xml:space="preserve">Taller 1</t>
  </si>
  <si>
    <t xml:space="preserve">Taller 2</t>
  </si>
  <si>
    <t xml:space="preserve">Taller 3</t>
  </si>
  <si>
    <t xml:space="preserve">P ER1</t>
  </si>
  <si>
    <t xml:space="preserve">P ER2</t>
  </si>
  <si>
    <t xml:space="preserve">EP2</t>
  </si>
  <si>
    <t xml:space="preserve">P ER3</t>
  </si>
  <si>
    <t xml:space="preserve">EP3</t>
  </si>
  <si>
    <t xml:space="preserve">ER1</t>
  </si>
  <si>
    <t xml:space="preserve">ER2</t>
  </si>
  <si>
    <t xml:space="preserve">ER3</t>
  </si>
  <si>
    <t xml:space="preserve">EPI</t>
  </si>
  <si>
    <t xml:space="preserve">Nota 4</t>
  </si>
  <si>
    <t xml:space="preserve">Nota Final</t>
  </si>
  <si>
    <t xml:space="preserve">ESTADISTICAS</t>
  </si>
  <si>
    <t xml:space="preserve">Com1</t>
  </si>
  <si>
    <t xml:space="preserve">Evaluación Regular 1</t>
  </si>
  <si>
    <t xml:space="preserve">C01</t>
  </si>
  <si>
    <t xml:space="preserve">Número Aprobados</t>
  </si>
  <si>
    <t xml:space="preserve">Número Reprobados</t>
  </si>
  <si>
    <t xml:space="preserve">Promedio general</t>
  </si>
  <si>
    <t xml:space="preserve">Nota máxima</t>
  </si>
  <si>
    <t xml:space="preserve">Nota mínima</t>
  </si>
  <si>
    <t xml:space="preserve">sigma</t>
  </si>
  <si>
    <t xml:space="preserve">21670567K </t>
  </si>
  <si>
    <t xml:space="preserve">Evaluación Regular 2</t>
  </si>
  <si>
    <t xml:space="preserve">22317390K </t>
  </si>
  <si>
    <t xml:space="preserve">21923158K </t>
  </si>
  <si>
    <t xml:space="preserve">Evaluación Regular 3</t>
  </si>
  <si>
    <t xml:space="preserve">22583069K </t>
  </si>
  <si>
    <t xml:space="preserve">27999017K </t>
  </si>
  <si>
    <t xml:space="preserve">22463871K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</si>
</sst>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alibri"/>
      <family val="2"/>
      <charset val="1"/>
    </font>
    <font>
      <b val="true"/>
      <sz val="12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8F2A1"/>
        <bgColor rgb="FFFFFFCC"/>
      </patternFill>
    </fill>
    <fill>
      <patternFill patternType="solid">
        <fgColor rgb="FFEEEEEE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 diagonalUp="false" diagonalDown="false">
      <left/>
      <right style="thin">
        <color rgb="FF666666"/>
      </right>
      <top style="thin">
        <color rgb="FF666666"/>
      </top>
      <bottom style="thin">
        <color rgb="FF666666"/>
      </bottom>
      <diagonal/>
    </border>
    <border diagonalUp="false" diagonalDown="false">
      <left style="thin">
        <color rgb="FF666666"/>
      </left>
      <right style="thin">
        <color rgb="FF666666"/>
      </right>
      <top/>
      <bottom style="thin">
        <color rgb="FF666666"/>
      </bottom>
      <diagonal/>
    </border>
    <border diagonalUp="false" diagonalDown="false">
      <left/>
      <right style="thin">
        <color rgb="FF666666"/>
      </right>
      <top/>
      <bottom style="thin">
        <color rgb="FF66666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2"/>
        <color rgb="FFCC0000"/>
      </font>
    </dxf>
  </dxfs>
  <colors>
    <indexedColors>
      <rgbColor rgb="FF000000"/>
      <rgbColor rgb="FFEEEEEE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8F2A1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41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B1" activeCellId="0" sqref="A:B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39.31"/>
    <col collapsed="false" customWidth="true" hidden="false" outlineLevel="0" max="2" min="2" style="1" width="43.12"/>
    <col collapsed="false" customWidth="true" hidden="false" outlineLevel="0" max="3" min="3" style="1" width="13.03"/>
    <col collapsed="false" customWidth="false" hidden="false" outlineLevel="0" max="4" min="4" style="1" width="11.53"/>
    <col collapsed="false" customWidth="true" hidden="false" outlineLevel="0" max="7" min="5" style="1" width="9.52"/>
    <col collapsed="false" customWidth="true" hidden="false" outlineLevel="0" max="10" min="8" style="1" width="7.96"/>
    <col collapsed="false" customWidth="true" hidden="false" outlineLevel="0" max="14" min="11" style="1" width="6.36"/>
    <col collapsed="false" customWidth="true" hidden="false" outlineLevel="0" max="18" min="15" style="1" width="4.76"/>
    <col collapsed="false" customWidth="true" hidden="false" outlineLevel="0" max="20" min="19" style="1" width="7.3"/>
    <col collapsed="false" customWidth="false" hidden="false" outlineLevel="0" max="22" min="21" style="1" width="11.53"/>
    <col collapsed="false" customWidth="true" hidden="false" outlineLevel="0" max="23" min="23" style="1" width="16.35"/>
    <col collapsed="false" customWidth="true" hidden="false" outlineLevel="0" max="24" min="24" style="1" width="16.28"/>
    <col collapsed="false" customWidth="false" hidden="false" outlineLevel="0" max="16384" min="26" style="1" width="11.53"/>
  </cols>
  <sheetData>
    <row r="1" customFormat="false" ht="15" hidden="false" customHeight="false" outlineLevel="0" collapsed="false">
      <c r="A1" s="2"/>
      <c r="B1" s="2"/>
      <c r="C1" s="2" t="s">
        <v>0</v>
      </c>
      <c r="D1" s="2"/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3"/>
      <c r="W1" s="4" t="s">
        <v>18</v>
      </c>
      <c r="Y1" s="3" t="s">
        <v>19</v>
      </c>
    </row>
    <row r="3" customFormat="false" ht="16.15" hidden="false" customHeight="false" outlineLevel="0" collapsed="false">
      <c r="A3" s="5"/>
      <c r="B3" s="6"/>
      <c r="C3" s="6" t="n">
        <v>223754988</v>
      </c>
      <c r="D3" s="6"/>
      <c r="E3" s="7" t="n">
        <v>1.8</v>
      </c>
      <c r="F3" s="7"/>
      <c r="G3" s="7"/>
      <c r="H3" s="7" t="n">
        <v>3.5</v>
      </c>
      <c r="I3" s="7" t="n">
        <v>4</v>
      </c>
      <c r="J3" s="7"/>
      <c r="K3" s="7"/>
      <c r="L3" s="7"/>
      <c r="M3" s="7"/>
      <c r="N3" s="7"/>
      <c r="O3" s="7"/>
      <c r="P3" s="7" t="n">
        <v>1.4</v>
      </c>
      <c r="Q3" s="7"/>
      <c r="R3" s="7"/>
      <c r="S3" s="7"/>
      <c r="T3" s="8" t="n">
        <f aca="false">ROUND(0.5*AVERAGE(E3:G3)+0.3*S3+0.2*AVERAGE(H3:J3),1)</f>
        <v>1.7</v>
      </c>
      <c r="U3" s="8" t="n">
        <f aca="false">ROUND(0.2*P3+0.25*Q3+0.25*R3+0.3*T3,1)</f>
        <v>0.8</v>
      </c>
      <c r="W3" s="9" t="s">
        <v>20</v>
      </c>
      <c r="Y3" s="10" t="s">
        <v>21</v>
      </c>
    </row>
    <row r="4" customFormat="false" ht="16.15" hidden="false" customHeight="false" outlineLevel="0" collapsed="false">
      <c r="A4" s="11"/>
      <c r="B4" s="12"/>
      <c r="C4" s="12" t="n">
        <v>271309074</v>
      </c>
      <c r="D4" s="12"/>
      <c r="E4" s="12" t="n">
        <v>3.3</v>
      </c>
      <c r="F4" s="12"/>
      <c r="G4" s="12"/>
      <c r="H4" s="12" t="n">
        <v>3.8</v>
      </c>
      <c r="I4" s="12" t="n">
        <v>4</v>
      </c>
      <c r="J4" s="12"/>
      <c r="K4" s="12"/>
      <c r="L4" s="12"/>
      <c r="M4" s="12"/>
      <c r="N4" s="12"/>
      <c r="O4" s="12"/>
      <c r="P4" s="13" t="n">
        <v>3.7</v>
      </c>
      <c r="Q4" s="13"/>
      <c r="R4" s="13"/>
      <c r="S4" s="12"/>
      <c r="T4" s="14" t="n">
        <f aca="false">ROUND(0.5*AVERAGE(E4:G4)+0.3*S4+0.2*AVERAGE(H4:J4),1)</f>
        <v>2.4</v>
      </c>
      <c r="U4" s="14" t="n">
        <f aca="false">ROUND(0.2*P4+0.25*Q4+0.25*R4+0.3*T4,1)</f>
        <v>1.5</v>
      </c>
      <c r="W4" s="1" t="s">
        <v>22</v>
      </c>
      <c r="X4" s="3"/>
      <c r="Y4" s="10" t="s">
        <v>21</v>
      </c>
    </row>
    <row r="5" customFormat="false" ht="16.15" hidden="false" customHeight="false" outlineLevel="0" collapsed="false">
      <c r="A5" s="15"/>
      <c r="B5" s="16"/>
      <c r="C5" s="16" t="n">
        <v>223960146</v>
      </c>
      <c r="D5" s="16"/>
      <c r="E5" s="16" t="n">
        <v>5.9</v>
      </c>
      <c r="F5" s="16"/>
      <c r="G5" s="16"/>
      <c r="H5" s="16" t="n">
        <v>3.8</v>
      </c>
      <c r="I5" s="16" t="n">
        <v>4</v>
      </c>
      <c r="J5" s="16"/>
      <c r="K5" s="16"/>
      <c r="L5" s="16"/>
      <c r="M5" s="16"/>
      <c r="N5" s="16"/>
      <c r="O5" s="16"/>
      <c r="P5" s="7" t="n">
        <v>4.1</v>
      </c>
      <c r="Q5" s="7"/>
      <c r="R5" s="7"/>
      <c r="S5" s="16"/>
      <c r="T5" s="8" t="n">
        <f aca="false">ROUND(0.5*AVERAGE(E5:G5)+0.3*S5+0.2*AVERAGE(H5:J5),1)</f>
        <v>3.7</v>
      </c>
      <c r="U5" s="8" t="n">
        <f aca="false">ROUND(0.2*P5+0.25*Q5+0.25*R5+0.3*T5,1)</f>
        <v>1.9</v>
      </c>
      <c r="W5" s="1" t="s">
        <v>23</v>
      </c>
      <c r="X5" s="3"/>
      <c r="Y5" s="10" t="s">
        <v>21</v>
      </c>
    </row>
    <row r="6" customFormat="false" ht="16.15" hidden="false" customHeight="false" outlineLevel="0" collapsed="false">
      <c r="A6" s="11"/>
      <c r="B6" s="12"/>
      <c r="C6" s="12" t="n">
        <v>228592838</v>
      </c>
      <c r="D6" s="12"/>
      <c r="E6" s="12" t="n">
        <v>3.7</v>
      </c>
      <c r="F6" s="12"/>
      <c r="G6" s="12"/>
      <c r="H6" s="12" t="n">
        <v>3.5</v>
      </c>
      <c r="I6" s="12" t="n">
        <v>4</v>
      </c>
      <c r="J6" s="12"/>
      <c r="K6" s="12"/>
      <c r="L6" s="12"/>
      <c r="M6" s="12"/>
      <c r="N6" s="12"/>
      <c r="O6" s="12"/>
      <c r="P6" s="13" t="n">
        <v>4.2</v>
      </c>
      <c r="Q6" s="13"/>
      <c r="R6" s="13"/>
      <c r="S6" s="12"/>
      <c r="T6" s="14" t="n">
        <f aca="false">ROUND(0.5*AVERAGE(E6:G6)+0.3*S6+0.2*AVERAGE(H6:J6),1)</f>
        <v>2.6</v>
      </c>
      <c r="U6" s="14" t="n">
        <f aca="false">ROUND(0.2*P6+0.25*Q6+0.25*R6+0.3*T6,1)</f>
        <v>1.6</v>
      </c>
      <c r="W6" s="1" t="s">
        <v>24</v>
      </c>
      <c r="X6" s="3"/>
      <c r="Y6" s="10" t="s">
        <v>21</v>
      </c>
    </row>
    <row r="7" customFormat="false" ht="16.15" hidden="false" customHeight="false" outlineLevel="0" collapsed="false">
      <c r="A7" s="15"/>
      <c r="B7" s="16"/>
      <c r="C7" s="16" t="n">
        <v>223870066</v>
      </c>
      <c r="D7" s="16"/>
      <c r="E7" s="16" t="n">
        <v>5.9</v>
      </c>
      <c r="F7" s="16"/>
      <c r="G7" s="16"/>
      <c r="H7" s="16" t="n">
        <v>3.8</v>
      </c>
      <c r="I7" s="16" t="n">
        <v>3</v>
      </c>
      <c r="J7" s="16"/>
      <c r="K7" s="16"/>
      <c r="L7" s="16"/>
      <c r="M7" s="16"/>
      <c r="N7" s="16"/>
      <c r="O7" s="16"/>
      <c r="P7" s="7" t="n">
        <v>3.2</v>
      </c>
      <c r="Q7" s="7"/>
      <c r="R7" s="7"/>
      <c r="S7" s="16"/>
      <c r="T7" s="8" t="n">
        <f aca="false">ROUND(0.5*AVERAGE(E7:G7)+0.3*S7+0.2*AVERAGE(H7:J7),1)</f>
        <v>3.6</v>
      </c>
      <c r="U7" s="8" t="n">
        <f aca="false">ROUND(0.2*P7+0.25*Q7+0.25*R7+0.3*T7,1)</f>
        <v>1.7</v>
      </c>
      <c r="W7" s="1" t="s">
        <v>25</v>
      </c>
      <c r="Y7" s="10" t="s">
        <v>21</v>
      </c>
    </row>
    <row r="8" customFormat="false" ht="16.15" hidden="false" customHeight="false" outlineLevel="0" collapsed="false">
      <c r="A8" s="11"/>
      <c r="B8" s="12"/>
      <c r="C8" s="12" t="n">
        <v>225042845</v>
      </c>
      <c r="D8" s="12"/>
      <c r="E8" s="12" t="n">
        <v>4.2</v>
      </c>
      <c r="F8" s="12"/>
      <c r="G8" s="12"/>
      <c r="H8" s="12" t="n">
        <v>3.5</v>
      </c>
      <c r="I8" s="12" t="n">
        <v>3.5</v>
      </c>
      <c r="J8" s="12"/>
      <c r="K8" s="12"/>
      <c r="L8" s="12"/>
      <c r="M8" s="12"/>
      <c r="N8" s="12"/>
      <c r="O8" s="12"/>
      <c r="P8" s="13" t="n">
        <v>5.7</v>
      </c>
      <c r="Q8" s="13"/>
      <c r="R8" s="13"/>
      <c r="S8" s="12"/>
      <c r="T8" s="14" t="n">
        <f aca="false">ROUND(0.5*AVERAGE(E8:G8)+0.3*S8+0.2*AVERAGE(H8:J8),1)</f>
        <v>2.8</v>
      </c>
      <c r="U8" s="14" t="n">
        <f aca="false">ROUND(0.2*P8+0.25*Q8+0.25*R8+0.3*T8,1)</f>
        <v>2</v>
      </c>
      <c r="W8" s="1" t="s">
        <v>26</v>
      </c>
      <c r="Y8" s="10" t="s">
        <v>21</v>
      </c>
    </row>
    <row r="9" customFormat="false" ht="15" hidden="false" customHeight="false" outlineLevel="0" collapsed="false">
      <c r="A9" s="15"/>
      <c r="B9" s="16"/>
      <c r="C9" s="16" t="n">
        <v>220702545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7" t="n">
        <v>4</v>
      </c>
      <c r="Q9" s="7"/>
      <c r="R9" s="7"/>
      <c r="S9" s="16"/>
      <c r="T9" s="8" t="e">
        <f aca="false">ROUND(0.5*AVERAGE(E9:G9)+0.3*S9+0.2*AVERAGE(H9:J9),1)</f>
        <v>#DIV/0!</v>
      </c>
      <c r="U9" s="8" t="e">
        <f aca="false">ROUND(0.2*P9+0.25*Q9+0.25*R9+0.3*T9,1)</f>
        <v>#DIV/0!</v>
      </c>
      <c r="W9" s="1" t="s">
        <v>27</v>
      </c>
      <c r="Y9" s="10" t="s">
        <v>21</v>
      </c>
    </row>
    <row r="10" customFormat="false" ht="16.15" hidden="false" customHeight="false" outlineLevel="0" collapsed="false">
      <c r="A10" s="11"/>
      <c r="B10" s="12"/>
      <c r="C10" s="12" t="n">
        <v>218685501</v>
      </c>
      <c r="D10" s="12"/>
      <c r="E10" s="12" t="n">
        <v>3</v>
      </c>
      <c r="F10" s="12"/>
      <c r="G10" s="12"/>
      <c r="H10" s="12" t="n">
        <v>6.3</v>
      </c>
      <c r="I10" s="12" t="n">
        <v>7</v>
      </c>
      <c r="J10" s="12"/>
      <c r="K10" s="12"/>
      <c r="L10" s="12"/>
      <c r="M10" s="12"/>
      <c r="N10" s="12"/>
      <c r="O10" s="12"/>
      <c r="P10" s="13" t="n">
        <v>3.1</v>
      </c>
      <c r="Q10" s="13"/>
      <c r="R10" s="13"/>
      <c r="S10" s="12"/>
      <c r="T10" s="14" t="n">
        <f aca="false">ROUND(0.5*AVERAGE(E10:G10)+0.3*S10+0.2*AVERAGE(H10:J10),1)</f>
        <v>2.8</v>
      </c>
      <c r="U10" s="14" t="n">
        <f aca="false">ROUND(0.2*P10+0.25*Q10+0.25*R10+0.3*T10,1)</f>
        <v>1.5</v>
      </c>
      <c r="Y10" s="10" t="s">
        <v>21</v>
      </c>
    </row>
    <row r="11" customFormat="false" ht="15" hidden="false" customHeight="false" outlineLevel="0" collapsed="false">
      <c r="A11" s="15"/>
      <c r="B11" s="16"/>
      <c r="C11" s="16" t="s">
        <v>28</v>
      </c>
      <c r="D11" s="16"/>
      <c r="E11" s="16" t="n">
        <v>3.7</v>
      </c>
      <c r="F11" s="16"/>
      <c r="G11" s="16"/>
      <c r="H11" s="16" t="n">
        <v>3.3</v>
      </c>
      <c r="I11" s="16" t="n">
        <v>3.5</v>
      </c>
      <c r="J11" s="16"/>
      <c r="K11" s="16"/>
      <c r="L11" s="16"/>
      <c r="M11" s="16"/>
      <c r="N11" s="16"/>
      <c r="O11" s="16"/>
      <c r="P11" s="7" t="n">
        <v>2.8</v>
      </c>
      <c r="Q11" s="7"/>
      <c r="R11" s="7"/>
      <c r="S11" s="16"/>
      <c r="T11" s="8" t="n">
        <f aca="false">ROUND(0.5*AVERAGE(E11:G11)+0.3*S11+0.2*AVERAGE(H11:J11),1)</f>
        <v>2.5</v>
      </c>
      <c r="U11" s="8" t="n">
        <f aca="false">ROUND(0.2*P11+0.25*Q11+0.25*R11+0.3*T11,1)</f>
        <v>1.3</v>
      </c>
      <c r="W11" s="9" t="s">
        <v>29</v>
      </c>
      <c r="Y11" s="10" t="s">
        <v>21</v>
      </c>
    </row>
    <row r="12" customFormat="false" ht="16.15" hidden="false" customHeight="false" outlineLevel="0" collapsed="false">
      <c r="A12" s="11"/>
      <c r="B12" s="12"/>
      <c r="C12" s="12" t="s">
        <v>30</v>
      </c>
      <c r="D12" s="12"/>
      <c r="E12" s="12" t="n">
        <v>5.7</v>
      </c>
      <c r="F12" s="12"/>
      <c r="G12" s="12"/>
      <c r="H12" s="12" t="n">
        <v>3.3</v>
      </c>
      <c r="I12" s="12"/>
      <c r="J12" s="12"/>
      <c r="K12" s="12"/>
      <c r="L12" s="12"/>
      <c r="M12" s="12"/>
      <c r="N12" s="12"/>
      <c r="O12" s="12"/>
      <c r="P12" s="13" t="n">
        <v>2.5</v>
      </c>
      <c r="Q12" s="13"/>
      <c r="R12" s="13"/>
      <c r="S12" s="12"/>
      <c r="T12" s="14" t="n">
        <f aca="false">ROUND(0.5*AVERAGE(E12:G12)+0.3*S12+0.2*AVERAGE(H12:J12),1)</f>
        <v>3.5</v>
      </c>
      <c r="U12" s="14" t="n">
        <f aca="false">ROUND(0.2*P12+0.25*Q12+0.25*R12+0.3*T12,1)</f>
        <v>1.6</v>
      </c>
      <c r="W12" s="1" t="s">
        <v>22</v>
      </c>
      <c r="Y12" s="10" t="s">
        <v>21</v>
      </c>
    </row>
    <row r="13" customFormat="false" ht="16.15" hidden="false" customHeight="false" outlineLevel="0" collapsed="false">
      <c r="A13" s="15"/>
      <c r="B13" s="16"/>
      <c r="C13" s="16" t="n">
        <v>221412087</v>
      </c>
      <c r="D13" s="16"/>
      <c r="E13" s="16" t="n">
        <v>5.7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7" t="n">
        <v>3.1</v>
      </c>
      <c r="Q13" s="7"/>
      <c r="R13" s="7"/>
      <c r="S13" s="16"/>
      <c r="T13" s="8" t="e">
        <f aca="false">ROUND(0.5*AVERAGE(E13:G13)+0.3*S13+0.2*AVERAGE(H13:J13),1)</f>
        <v>#DIV/0!</v>
      </c>
      <c r="U13" s="8" t="e">
        <f aca="false">ROUND(0.2*P13+0.25*Q13+0.25*R13+0.3*T13,1)</f>
        <v>#DIV/0!</v>
      </c>
      <c r="W13" s="1" t="s">
        <v>23</v>
      </c>
      <c r="Y13" s="10" t="s">
        <v>21</v>
      </c>
    </row>
    <row r="14" customFormat="false" ht="16.15" hidden="false" customHeight="false" outlineLevel="0" collapsed="false">
      <c r="A14" s="11"/>
      <c r="B14" s="12"/>
      <c r="C14" s="12" t="n">
        <v>221697855</v>
      </c>
      <c r="D14" s="12"/>
      <c r="E14" s="12" t="n">
        <v>4.2</v>
      </c>
      <c r="F14" s="12"/>
      <c r="G14" s="12"/>
      <c r="H14" s="12" t="n">
        <v>6.3</v>
      </c>
      <c r="I14" s="12" t="n">
        <v>7</v>
      </c>
      <c r="J14" s="12"/>
      <c r="K14" s="12"/>
      <c r="L14" s="12"/>
      <c r="M14" s="12"/>
      <c r="N14" s="12"/>
      <c r="O14" s="12"/>
      <c r="P14" s="13" t="n">
        <v>3.1</v>
      </c>
      <c r="Q14" s="13"/>
      <c r="R14" s="13"/>
      <c r="S14" s="12"/>
      <c r="T14" s="14" t="n">
        <f aca="false">ROUND(0.5*AVERAGE(E14:G14)+0.3*S14+0.2*AVERAGE(H14:J14),1)</f>
        <v>3.4</v>
      </c>
      <c r="U14" s="14" t="n">
        <f aca="false">ROUND(0.2*P14+0.25*Q14+0.25*R14+0.3*T14,1)</f>
        <v>1.6</v>
      </c>
      <c r="W14" s="1" t="s">
        <v>24</v>
      </c>
      <c r="Y14" s="10" t="s">
        <v>21</v>
      </c>
    </row>
    <row r="15" customFormat="false" ht="16.15" hidden="false" customHeight="false" outlineLevel="0" collapsed="false">
      <c r="A15" s="15"/>
      <c r="B15" s="16"/>
      <c r="C15" s="16" t="n">
        <v>226437061</v>
      </c>
      <c r="D15" s="16"/>
      <c r="E15" s="16" t="n">
        <v>5.1</v>
      </c>
      <c r="F15" s="16"/>
      <c r="G15" s="16"/>
      <c r="H15" s="16" t="n">
        <v>5.1</v>
      </c>
      <c r="I15" s="16" t="n">
        <v>6.3</v>
      </c>
      <c r="J15" s="16"/>
      <c r="K15" s="16"/>
      <c r="L15" s="16"/>
      <c r="M15" s="16"/>
      <c r="N15" s="16"/>
      <c r="O15" s="16"/>
      <c r="P15" s="7" t="n">
        <v>4.8</v>
      </c>
      <c r="Q15" s="7"/>
      <c r="R15" s="7"/>
      <c r="S15" s="16"/>
      <c r="T15" s="8" t="n">
        <f aca="false">ROUND(0.5*AVERAGE(E15:G15)+0.3*S15+0.2*AVERAGE(H15:J15),1)</f>
        <v>3.7</v>
      </c>
      <c r="U15" s="8" t="n">
        <f aca="false">ROUND(0.2*P15+0.25*Q15+0.25*R15+0.3*T15,1)</f>
        <v>2.1</v>
      </c>
      <c r="W15" s="1" t="s">
        <v>25</v>
      </c>
      <c r="Y15" s="10" t="s">
        <v>21</v>
      </c>
    </row>
    <row r="16" customFormat="false" ht="16.15" hidden="false" customHeight="false" outlineLevel="0" collapsed="false">
      <c r="A16" s="11"/>
      <c r="B16" s="12"/>
      <c r="C16" s="12" t="n">
        <v>225552614</v>
      </c>
      <c r="D16" s="12"/>
      <c r="E16" s="12" t="n">
        <v>5</v>
      </c>
      <c r="F16" s="12"/>
      <c r="G16" s="12"/>
      <c r="H16" s="12" t="n">
        <v>3</v>
      </c>
      <c r="I16" s="12" t="n">
        <v>4.8</v>
      </c>
      <c r="J16" s="12"/>
      <c r="K16" s="12"/>
      <c r="L16" s="12"/>
      <c r="M16" s="12"/>
      <c r="N16" s="12"/>
      <c r="O16" s="12"/>
      <c r="P16" s="13" t="n">
        <v>2.5</v>
      </c>
      <c r="Q16" s="13"/>
      <c r="R16" s="13"/>
      <c r="S16" s="12"/>
      <c r="T16" s="14" t="n">
        <f aca="false">ROUND(0.5*AVERAGE(E16:G16)+0.3*S16+0.2*AVERAGE(H16:J16),1)</f>
        <v>3.3</v>
      </c>
      <c r="U16" s="14" t="n">
        <f aca="false">ROUND(0.2*P16+0.25*Q16+0.25*R16+0.3*T16,1)</f>
        <v>1.5</v>
      </c>
      <c r="W16" s="1" t="s">
        <v>26</v>
      </c>
      <c r="Y16" s="10" t="s">
        <v>21</v>
      </c>
    </row>
    <row r="17" customFormat="false" ht="16.15" hidden="false" customHeight="false" outlineLevel="0" collapsed="false">
      <c r="A17" s="15"/>
      <c r="B17" s="16"/>
      <c r="C17" s="16" t="n">
        <v>224888457</v>
      </c>
      <c r="D17" s="16"/>
      <c r="E17" s="16" t="n">
        <v>4</v>
      </c>
      <c r="F17" s="16"/>
      <c r="G17" s="16"/>
      <c r="H17" s="16" t="n">
        <v>5.9</v>
      </c>
      <c r="I17" s="16" t="n">
        <v>3.5</v>
      </c>
      <c r="J17" s="16"/>
      <c r="K17" s="16"/>
      <c r="L17" s="16"/>
      <c r="M17" s="16"/>
      <c r="N17" s="16"/>
      <c r="O17" s="16"/>
      <c r="P17" s="7" t="n">
        <v>4.8</v>
      </c>
      <c r="Q17" s="7"/>
      <c r="R17" s="7"/>
      <c r="S17" s="16"/>
      <c r="T17" s="8" t="n">
        <f aca="false">ROUND(0.5*AVERAGE(E17:G17)+0.3*S17+0.2*AVERAGE(H17:J17),1)</f>
        <v>2.9</v>
      </c>
      <c r="U17" s="8" t="n">
        <f aca="false">ROUND(0.2*P17+0.25*Q17+0.25*R17+0.3*T17,1)</f>
        <v>1.8</v>
      </c>
      <c r="W17" s="1" t="s">
        <v>27</v>
      </c>
      <c r="Y17" s="10" t="s">
        <v>21</v>
      </c>
    </row>
    <row r="18" customFormat="false" ht="16.15" hidden="false" customHeight="false" outlineLevel="0" collapsed="false">
      <c r="A18" s="11"/>
      <c r="B18" s="12"/>
      <c r="C18" s="12" t="s">
        <v>31</v>
      </c>
      <c r="D18" s="12"/>
      <c r="E18" s="12" t="n">
        <v>3.3</v>
      </c>
      <c r="F18" s="12"/>
      <c r="G18" s="12"/>
      <c r="H18" s="12" t="n">
        <v>5.9</v>
      </c>
      <c r="I18" s="12" t="n">
        <v>7</v>
      </c>
      <c r="J18" s="12"/>
      <c r="K18" s="12"/>
      <c r="L18" s="12"/>
      <c r="M18" s="12"/>
      <c r="N18" s="12"/>
      <c r="O18" s="12"/>
      <c r="P18" s="13" t="n">
        <v>2</v>
      </c>
      <c r="Q18" s="13"/>
      <c r="R18" s="13"/>
      <c r="S18" s="12"/>
      <c r="T18" s="14" t="n">
        <f aca="false">ROUND(0.5*AVERAGE(E18:G18)+0.3*S18+0.2*AVERAGE(H18:J18),1)</f>
        <v>2.9</v>
      </c>
      <c r="U18" s="14" t="n">
        <f aca="false">ROUND(0.2*P18+0.25*Q18+0.25*R18+0.3*T18,1)</f>
        <v>1.3</v>
      </c>
      <c r="Y18" s="10" t="s">
        <v>21</v>
      </c>
    </row>
    <row r="19" customFormat="false" ht="16.15" hidden="false" customHeight="false" outlineLevel="0" collapsed="false">
      <c r="A19" s="15"/>
      <c r="B19" s="16"/>
      <c r="C19" s="16" t="n">
        <v>223173837</v>
      </c>
      <c r="D19" s="16"/>
      <c r="E19" s="16" t="n">
        <v>3.8</v>
      </c>
      <c r="F19" s="16"/>
      <c r="G19" s="16"/>
      <c r="H19" s="16" t="n">
        <v>4.8</v>
      </c>
      <c r="I19" s="16" t="n">
        <v>6.6</v>
      </c>
      <c r="J19" s="16"/>
      <c r="K19" s="16"/>
      <c r="L19" s="16"/>
      <c r="M19" s="16"/>
      <c r="N19" s="16"/>
      <c r="O19" s="16"/>
      <c r="P19" s="7" t="n">
        <v>3.1</v>
      </c>
      <c r="Q19" s="7"/>
      <c r="R19" s="7"/>
      <c r="S19" s="16"/>
      <c r="T19" s="8" t="n">
        <f aca="false">ROUND(0.5*AVERAGE(E19:G19)+0.3*S19+0.2*AVERAGE(H19:J19),1)</f>
        <v>3</v>
      </c>
      <c r="U19" s="8" t="n">
        <f aca="false">ROUND(0.2*P19+0.25*Q19+0.25*R19+0.3*T19,1)</f>
        <v>1.5</v>
      </c>
      <c r="W19" s="9" t="s">
        <v>32</v>
      </c>
      <c r="Y19" s="10" t="s">
        <v>21</v>
      </c>
    </row>
    <row r="20" customFormat="false" ht="15" hidden="false" customHeight="false" outlineLevel="0" collapsed="false">
      <c r="A20" s="11"/>
      <c r="B20" s="12"/>
      <c r="C20" s="12" t="n">
        <v>219508751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3"/>
      <c r="Q20" s="13"/>
      <c r="R20" s="13"/>
      <c r="S20" s="12"/>
      <c r="T20" s="14" t="e">
        <f aca="false">ROUND(0.5*AVERAGE(E20:G20)+0.3*S20+0.2*AVERAGE(H20:J20),1)</f>
        <v>#DIV/0!</v>
      </c>
      <c r="U20" s="14" t="e">
        <f aca="false">ROUND(0.2*P20+0.25*Q20+0.25*R20+0.3*T20,1)</f>
        <v>#DIV/0!</v>
      </c>
      <c r="W20" s="1" t="s">
        <v>22</v>
      </c>
      <c r="Y20" s="10" t="s">
        <v>21</v>
      </c>
    </row>
    <row r="21" customFormat="false" ht="15" hidden="false" customHeight="false" outlineLevel="0" collapsed="false">
      <c r="A21" s="15"/>
      <c r="B21" s="16"/>
      <c r="C21" s="16" t="n">
        <v>224115571</v>
      </c>
      <c r="D21" s="16"/>
      <c r="E21" s="16" t="n">
        <v>3.7</v>
      </c>
      <c r="F21" s="16"/>
      <c r="G21" s="16"/>
      <c r="H21" s="16" t="n">
        <v>3.8</v>
      </c>
      <c r="I21" s="16" t="n">
        <v>3.5</v>
      </c>
      <c r="J21" s="16"/>
      <c r="K21" s="16"/>
      <c r="L21" s="16"/>
      <c r="M21" s="16"/>
      <c r="N21" s="16"/>
      <c r="O21" s="16"/>
      <c r="P21" s="7" t="n">
        <v>2</v>
      </c>
      <c r="Q21" s="7"/>
      <c r="R21" s="7"/>
      <c r="S21" s="16"/>
      <c r="T21" s="8" t="n">
        <f aca="false">ROUND(0.5*AVERAGE(E21:G21)+0.3*S21+0.2*AVERAGE(H21:J21),1)</f>
        <v>2.6</v>
      </c>
      <c r="U21" s="8" t="n">
        <f aca="false">ROUND(0.2*P21+0.25*Q21+0.25*R21+0.3*T21,1)</f>
        <v>1.2</v>
      </c>
      <c r="W21" s="1" t="s">
        <v>23</v>
      </c>
      <c r="Y21" s="10" t="s">
        <v>21</v>
      </c>
    </row>
    <row r="22" customFormat="false" ht="16.15" hidden="false" customHeight="false" outlineLevel="0" collapsed="false">
      <c r="A22" s="11"/>
      <c r="B22" s="12"/>
      <c r="C22" s="12" t="n">
        <v>224353383</v>
      </c>
      <c r="D22" s="12"/>
      <c r="E22" s="12" t="n">
        <v>2.7</v>
      </c>
      <c r="F22" s="12"/>
      <c r="G22" s="12"/>
      <c r="H22" s="12" t="n">
        <v>5.1</v>
      </c>
      <c r="I22" s="12" t="n">
        <v>6.3</v>
      </c>
      <c r="J22" s="12"/>
      <c r="K22" s="12"/>
      <c r="L22" s="12"/>
      <c r="M22" s="12"/>
      <c r="N22" s="12"/>
      <c r="O22" s="12"/>
      <c r="P22" s="13" t="n">
        <v>4.2</v>
      </c>
      <c r="Q22" s="13"/>
      <c r="R22" s="13"/>
      <c r="S22" s="12"/>
      <c r="T22" s="14" t="n">
        <f aca="false">ROUND(0.5*AVERAGE(E22:G22)+0.3*S22+0.2*AVERAGE(H22:J22),1)</f>
        <v>2.5</v>
      </c>
      <c r="U22" s="14" t="n">
        <f aca="false">ROUND(0.2*P22+0.25*Q22+0.25*R22+0.3*T22,1)</f>
        <v>1.6</v>
      </c>
      <c r="W22" s="1" t="s">
        <v>24</v>
      </c>
      <c r="Y22" s="10" t="s">
        <v>21</v>
      </c>
    </row>
    <row r="23" customFormat="false" ht="16.15" hidden="false" customHeight="false" outlineLevel="0" collapsed="false">
      <c r="A23" s="15"/>
      <c r="B23" s="16"/>
      <c r="C23" s="16" t="n">
        <v>278315037</v>
      </c>
      <c r="D23" s="16"/>
      <c r="E23" s="16" t="n">
        <v>7</v>
      </c>
      <c r="F23" s="16"/>
      <c r="G23" s="16"/>
      <c r="H23" s="16" t="n">
        <v>6.3</v>
      </c>
      <c r="I23" s="16" t="n">
        <v>7</v>
      </c>
      <c r="J23" s="16"/>
      <c r="K23" s="16"/>
      <c r="L23" s="16"/>
      <c r="M23" s="16"/>
      <c r="N23" s="16"/>
      <c r="O23" s="16"/>
      <c r="P23" s="7" t="n">
        <v>2.2</v>
      </c>
      <c r="Q23" s="7"/>
      <c r="R23" s="7"/>
      <c r="S23" s="16"/>
      <c r="T23" s="8" t="n">
        <f aca="false">ROUND(0.5*AVERAGE(E23:G23)+0.3*S23+0.2*AVERAGE(H23:J23),1)</f>
        <v>4.8</v>
      </c>
      <c r="U23" s="8" t="n">
        <f aca="false">ROUND(0.2*P23+0.25*Q23+0.25*R23+0.3*T23,1)</f>
        <v>1.9</v>
      </c>
      <c r="W23" s="1" t="s">
        <v>25</v>
      </c>
      <c r="Y23" s="10" t="s">
        <v>21</v>
      </c>
    </row>
    <row r="24" customFormat="false" ht="16.15" hidden="false" customHeight="false" outlineLevel="0" collapsed="false">
      <c r="A24" s="11"/>
      <c r="B24" s="12"/>
      <c r="C24" s="12" t="n">
        <v>226377328</v>
      </c>
      <c r="D24" s="12"/>
      <c r="E24" s="12" t="n">
        <v>6.3</v>
      </c>
      <c r="F24" s="12"/>
      <c r="G24" s="12"/>
      <c r="H24" s="12" t="n">
        <v>3.8</v>
      </c>
      <c r="I24" s="12" t="n">
        <v>3.5</v>
      </c>
      <c r="J24" s="12"/>
      <c r="K24" s="12"/>
      <c r="L24" s="12"/>
      <c r="M24" s="12"/>
      <c r="N24" s="12"/>
      <c r="O24" s="12"/>
      <c r="P24" s="13" t="n">
        <v>3.4</v>
      </c>
      <c r="Q24" s="13"/>
      <c r="R24" s="13"/>
      <c r="S24" s="12"/>
      <c r="T24" s="14" t="n">
        <f aca="false">ROUND(0.5*AVERAGE(E24:G24)+0.3*S24+0.2*AVERAGE(H24:J24),1)</f>
        <v>3.9</v>
      </c>
      <c r="U24" s="14" t="n">
        <f aca="false">ROUND(0.2*P24+0.25*Q24+0.25*R24+0.3*T24,1)</f>
        <v>1.9</v>
      </c>
      <c r="W24" s="1" t="s">
        <v>26</v>
      </c>
      <c r="Y24" s="10" t="s">
        <v>21</v>
      </c>
    </row>
    <row r="25" customFormat="false" ht="16.15" hidden="false" customHeight="false" outlineLevel="0" collapsed="false">
      <c r="A25" s="15"/>
      <c r="B25" s="16"/>
      <c r="C25" s="16" t="n">
        <v>221653149</v>
      </c>
      <c r="D25" s="16"/>
      <c r="E25" s="16"/>
      <c r="F25" s="16"/>
      <c r="G25" s="16"/>
      <c r="H25" s="16" t="n">
        <v>5.9</v>
      </c>
      <c r="I25" s="16" t="n">
        <v>5.5</v>
      </c>
      <c r="J25" s="16"/>
      <c r="K25" s="16"/>
      <c r="L25" s="16"/>
      <c r="M25" s="16"/>
      <c r="N25" s="16"/>
      <c r="O25" s="16"/>
      <c r="P25" s="7" t="n">
        <v>4.8</v>
      </c>
      <c r="Q25" s="7"/>
      <c r="R25" s="7"/>
      <c r="S25" s="16"/>
      <c r="T25" s="8" t="e">
        <f aca="false">ROUND(0.5*AVERAGE(E25:G25)+0.3*S25+0.2*AVERAGE(H25:J25),1)</f>
        <v>#DIV/0!</v>
      </c>
      <c r="U25" s="8" t="e">
        <f aca="false">ROUND(0.2*P25+0.25*Q25+0.25*R25+0.3*T25,1)</f>
        <v>#DIV/0!</v>
      </c>
      <c r="W25" s="1" t="s">
        <v>27</v>
      </c>
      <c r="Y25" s="10" t="s">
        <v>21</v>
      </c>
    </row>
    <row r="26" customFormat="false" ht="16.15" hidden="false" customHeight="false" outlineLevel="0" collapsed="false">
      <c r="A26" s="11"/>
      <c r="B26" s="12"/>
      <c r="C26" s="12" t="s">
        <v>33</v>
      </c>
      <c r="D26" s="12"/>
      <c r="E26" s="12" t="n">
        <v>7</v>
      </c>
      <c r="F26" s="12"/>
      <c r="G26" s="12"/>
      <c r="H26" s="12" t="n">
        <v>3.8</v>
      </c>
      <c r="I26" s="12" t="n">
        <v>3</v>
      </c>
      <c r="J26" s="12"/>
      <c r="K26" s="12"/>
      <c r="L26" s="12"/>
      <c r="M26" s="12"/>
      <c r="N26" s="12"/>
      <c r="O26" s="12"/>
      <c r="P26" s="13" t="n">
        <v>4</v>
      </c>
      <c r="Q26" s="13"/>
      <c r="R26" s="13"/>
      <c r="S26" s="12"/>
      <c r="T26" s="14" t="n">
        <f aca="false">ROUND(0.5*AVERAGE(E26:G26)+0.3*S26+0.2*AVERAGE(H26:J26),1)</f>
        <v>4.2</v>
      </c>
      <c r="U26" s="14" t="n">
        <f aca="false">ROUND(0.2*P26+0.25*Q26+0.25*R26+0.3*T26,1)</f>
        <v>2.1</v>
      </c>
      <c r="Y26" s="10" t="s">
        <v>21</v>
      </c>
    </row>
    <row r="27" customFormat="false" ht="16.15" hidden="false" customHeight="false" outlineLevel="0" collapsed="false">
      <c r="A27" s="15"/>
      <c r="B27" s="16"/>
      <c r="C27" s="16" t="s">
        <v>34</v>
      </c>
      <c r="D27" s="16"/>
      <c r="E27" s="16" t="n">
        <v>5.9</v>
      </c>
      <c r="F27" s="16"/>
      <c r="G27" s="16"/>
      <c r="H27" s="16" t="n">
        <v>3.5</v>
      </c>
      <c r="I27" s="16" t="n">
        <v>4</v>
      </c>
      <c r="J27" s="16"/>
      <c r="K27" s="16"/>
      <c r="L27" s="16"/>
      <c r="M27" s="16"/>
      <c r="N27" s="16"/>
      <c r="O27" s="16"/>
      <c r="P27" s="7" t="n">
        <v>5.9</v>
      </c>
      <c r="Q27" s="7"/>
      <c r="R27" s="7"/>
      <c r="S27" s="16"/>
      <c r="T27" s="8" t="n">
        <f aca="false">ROUND(0.5*AVERAGE(E27:G27)+0.3*S27+0.2*AVERAGE(H27:J27),1)</f>
        <v>3.7</v>
      </c>
      <c r="U27" s="8" t="n">
        <f aca="false">ROUND(0.2*P27+0.25*Q27+0.25*R27+0.3*T27,1)</f>
        <v>2.3</v>
      </c>
      <c r="Y27" s="10" t="s">
        <v>21</v>
      </c>
    </row>
    <row r="28" customFormat="false" ht="16.15" hidden="false" customHeight="false" outlineLevel="0" collapsed="false">
      <c r="A28" s="11"/>
      <c r="B28" s="12"/>
      <c r="C28" s="12" t="n">
        <v>225666210</v>
      </c>
      <c r="D28" s="12"/>
      <c r="E28" s="12" t="n">
        <v>4.2</v>
      </c>
      <c r="F28" s="12"/>
      <c r="G28" s="12"/>
      <c r="H28" s="12" t="n">
        <v>3.8</v>
      </c>
      <c r="I28" s="12" t="n">
        <v>5.5</v>
      </c>
      <c r="J28" s="12"/>
      <c r="K28" s="12"/>
      <c r="L28" s="12"/>
      <c r="M28" s="12"/>
      <c r="N28" s="12"/>
      <c r="O28" s="12"/>
      <c r="P28" s="13" t="n">
        <v>3.8</v>
      </c>
      <c r="Q28" s="13"/>
      <c r="R28" s="13"/>
      <c r="S28" s="12"/>
      <c r="T28" s="14" t="n">
        <f aca="false">ROUND(0.5*AVERAGE(E28:G28)+0.3*S28+0.2*AVERAGE(H28:J28),1)</f>
        <v>3</v>
      </c>
      <c r="U28" s="14" t="n">
        <f aca="false">ROUND(0.2*P28+0.25*Q28+0.25*R28+0.3*T28,1)</f>
        <v>1.7</v>
      </c>
      <c r="Y28" s="10" t="s">
        <v>21</v>
      </c>
    </row>
    <row r="29" customFormat="false" ht="16.15" hidden="false" customHeight="false" outlineLevel="0" collapsed="false">
      <c r="A29" s="15"/>
      <c r="B29" s="16"/>
      <c r="C29" s="16" t="n">
        <v>221910885</v>
      </c>
      <c r="D29" s="16"/>
      <c r="E29" s="16" t="n">
        <v>5.5</v>
      </c>
      <c r="F29" s="16"/>
      <c r="G29" s="16"/>
      <c r="H29" s="16"/>
      <c r="I29" s="16" t="n">
        <v>6.6</v>
      </c>
      <c r="J29" s="16"/>
      <c r="K29" s="16"/>
      <c r="L29" s="16"/>
      <c r="M29" s="16"/>
      <c r="N29" s="16"/>
      <c r="O29" s="16"/>
      <c r="P29" s="7" t="n">
        <v>3</v>
      </c>
      <c r="Q29" s="7"/>
      <c r="R29" s="7"/>
      <c r="S29" s="16"/>
      <c r="T29" s="8" t="n">
        <f aca="false">ROUND(0.5*AVERAGE(E29:G29)+0.3*S29+0.2*AVERAGE(H29:J29),1)</f>
        <v>4.1</v>
      </c>
      <c r="U29" s="8" t="n">
        <f aca="false">ROUND(0.2*P29+0.25*Q29+0.25*R29+0.3*T29,1)</f>
        <v>1.8</v>
      </c>
      <c r="Y29" s="10" t="s">
        <v>21</v>
      </c>
    </row>
    <row r="30" customFormat="false" ht="16.15" hidden="false" customHeight="false" outlineLevel="0" collapsed="false">
      <c r="A30" s="11"/>
      <c r="B30" s="12"/>
      <c r="C30" s="12" t="n">
        <v>222094224</v>
      </c>
      <c r="D30" s="12"/>
      <c r="E30" s="12" t="n">
        <v>2.8</v>
      </c>
      <c r="F30" s="12"/>
      <c r="G30" s="12"/>
      <c r="H30" s="12" t="n">
        <v>5.9</v>
      </c>
      <c r="I30" s="12" t="n">
        <v>7</v>
      </c>
      <c r="J30" s="12"/>
      <c r="K30" s="12"/>
      <c r="L30" s="12"/>
      <c r="M30" s="12"/>
      <c r="N30" s="12"/>
      <c r="O30" s="12"/>
      <c r="P30" s="13" t="n">
        <v>4</v>
      </c>
      <c r="Q30" s="13"/>
      <c r="R30" s="13"/>
      <c r="S30" s="12"/>
      <c r="T30" s="14" t="n">
        <f aca="false">ROUND(0.5*AVERAGE(E30:G30)+0.3*S30+0.2*AVERAGE(H30:J30),1)</f>
        <v>2.7</v>
      </c>
      <c r="U30" s="14" t="n">
        <f aca="false">ROUND(0.2*P30+0.25*Q30+0.25*R30+0.3*T30,1)</f>
        <v>1.6</v>
      </c>
      <c r="Y30" s="10" t="s">
        <v>21</v>
      </c>
    </row>
    <row r="31" customFormat="false" ht="16.15" hidden="false" customHeight="false" outlineLevel="0" collapsed="false">
      <c r="A31" s="15"/>
      <c r="B31" s="16"/>
      <c r="C31" s="16" t="n">
        <v>222976553</v>
      </c>
      <c r="D31" s="16"/>
      <c r="E31" s="16" t="n">
        <v>3.8</v>
      </c>
      <c r="F31" s="16"/>
      <c r="G31" s="16"/>
      <c r="H31" s="16" t="n">
        <v>6.3</v>
      </c>
      <c r="I31" s="16" t="n">
        <v>7</v>
      </c>
      <c r="J31" s="16"/>
      <c r="K31" s="16"/>
      <c r="L31" s="16"/>
      <c r="M31" s="16"/>
      <c r="N31" s="16"/>
      <c r="O31" s="16"/>
      <c r="P31" s="7" t="n">
        <v>4</v>
      </c>
      <c r="Q31" s="7"/>
      <c r="R31" s="7"/>
      <c r="S31" s="16"/>
      <c r="T31" s="8" t="n">
        <f aca="false">ROUND(0.5*AVERAGE(E31:G31)+0.3*S31+0.2*AVERAGE(H31:J31),1)</f>
        <v>3.2</v>
      </c>
      <c r="U31" s="8" t="n">
        <f aca="false">ROUND(0.2*P31+0.25*Q31+0.25*R31+0.3*T31,1)</f>
        <v>1.8</v>
      </c>
      <c r="Y31" s="10" t="s">
        <v>21</v>
      </c>
    </row>
    <row r="32" customFormat="false" ht="16.15" hidden="false" customHeight="false" outlineLevel="0" collapsed="false">
      <c r="A32" s="11"/>
      <c r="B32" s="12"/>
      <c r="C32" s="12" t="n">
        <v>224946635</v>
      </c>
      <c r="D32" s="12"/>
      <c r="E32" s="12" t="n">
        <v>3</v>
      </c>
      <c r="F32" s="12"/>
      <c r="G32" s="12"/>
      <c r="H32" s="12" t="n">
        <v>3.5</v>
      </c>
      <c r="I32" s="12" t="n">
        <v>4</v>
      </c>
      <c r="J32" s="12"/>
      <c r="K32" s="12"/>
      <c r="L32" s="12"/>
      <c r="M32" s="12"/>
      <c r="N32" s="12"/>
      <c r="O32" s="12"/>
      <c r="P32" s="13" t="n">
        <v>3.3</v>
      </c>
      <c r="Q32" s="13"/>
      <c r="R32" s="13"/>
      <c r="S32" s="12"/>
      <c r="T32" s="14" t="n">
        <f aca="false">ROUND(0.5*AVERAGE(E32:G32)+0.3*S32+0.2*AVERAGE(H32:J32),1)</f>
        <v>2.3</v>
      </c>
      <c r="U32" s="14" t="n">
        <f aca="false">ROUND(0.2*P32+0.25*Q32+0.25*R32+0.3*T32,1)</f>
        <v>1.4</v>
      </c>
      <c r="Y32" s="10" t="s">
        <v>21</v>
      </c>
    </row>
    <row r="33" customFormat="false" ht="16.15" hidden="false" customHeight="false" outlineLevel="0" collapsed="false">
      <c r="A33" s="15"/>
      <c r="B33" s="16"/>
      <c r="C33" s="16" t="n">
        <v>224248954</v>
      </c>
      <c r="D33" s="16"/>
      <c r="E33" s="16" t="n">
        <v>3.2</v>
      </c>
      <c r="F33" s="16"/>
      <c r="G33" s="16"/>
      <c r="H33" s="16" t="n">
        <v>3</v>
      </c>
      <c r="I33" s="16" t="n">
        <v>4.8</v>
      </c>
      <c r="J33" s="16"/>
      <c r="K33" s="16"/>
      <c r="L33" s="16"/>
      <c r="M33" s="16"/>
      <c r="N33" s="16"/>
      <c r="O33" s="16"/>
      <c r="P33" s="7" t="n">
        <v>3.4</v>
      </c>
      <c r="Q33" s="7"/>
      <c r="R33" s="7"/>
      <c r="S33" s="16"/>
      <c r="T33" s="8" t="n">
        <f aca="false">ROUND(0.5*AVERAGE(E33:G33)+0.3*S33+0.2*AVERAGE(H33:J33),1)</f>
        <v>2.4</v>
      </c>
      <c r="U33" s="8" t="n">
        <f aca="false">ROUND(0.2*P33+0.25*Q33+0.25*R33+0.3*T33,1)</f>
        <v>1.4</v>
      </c>
      <c r="Y33" s="10" t="s">
        <v>21</v>
      </c>
    </row>
    <row r="34" customFormat="false" ht="16.15" hidden="false" customHeight="false" outlineLevel="0" collapsed="false">
      <c r="A34" s="11"/>
      <c r="B34" s="12"/>
      <c r="C34" s="12" t="n">
        <v>221069196</v>
      </c>
      <c r="D34" s="12"/>
      <c r="E34" s="12" t="n">
        <v>3.8</v>
      </c>
      <c r="F34" s="12"/>
      <c r="G34" s="12"/>
      <c r="H34" s="12" t="n">
        <v>4.8</v>
      </c>
      <c r="I34" s="12" t="n">
        <v>6.6</v>
      </c>
      <c r="J34" s="12"/>
      <c r="K34" s="12"/>
      <c r="L34" s="12"/>
      <c r="M34" s="12"/>
      <c r="N34" s="12"/>
      <c r="O34" s="12"/>
      <c r="P34" s="13" t="n">
        <v>3.5</v>
      </c>
      <c r="Q34" s="13"/>
      <c r="R34" s="13"/>
      <c r="S34" s="12"/>
      <c r="T34" s="14" t="n">
        <f aca="false">ROUND(0.5*AVERAGE(E34:G34)+0.3*S34+0.2*AVERAGE(H34:J34),1)</f>
        <v>3</v>
      </c>
      <c r="U34" s="14" t="n">
        <f aca="false">ROUND(0.2*P34+0.25*Q34+0.25*R34+0.3*T34,1)</f>
        <v>1.6</v>
      </c>
      <c r="Y34" s="10" t="s">
        <v>21</v>
      </c>
    </row>
    <row r="35" customFormat="false" ht="16.15" hidden="false" customHeight="false" outlineLevel="0" collapsed="false">
      <c r="A35" s="15"/>
      <c r="B35" s="16"/>
      <c r="C35" s="16" t="s">
        <v>35</v>
      </c>
      <c r="D35" s="16"/>
      <c r="E35" s="16" t="n">
        <v>4.2</v>
      </c>
      <c r="F35" s="16"/>
      <c r="G35" s="16"/>
      <c r="H35" s="16" t="n">
        <v>5.1</v>
      </c>
      <c r="I35" s="16" t="n">
        <v>6.3</v>
      </c>
      <c r="J35" s="16"/>
      <c r="K35" s="16"/>
      <c r="L35" s="16"/>
      <c r="M35" s="16"/>
      <c r="N35" s="16"/>
      <c r="O35" s="16"/>
      <c r="P35" s="7" t="n">
        <v>5.5</v>
      </c>
      <c r="Q35" s="7"/>
      <c r="R35" s="7"/>
      <c r="S35" s="16"/>
      <c r="T35" s="8" t="n">
        <f aca="false">ROUND(0.5*AVERAGE(E35:G35)+0.3*S35+0.2*AVERAGE(H35:J35),1)</f>
        <v>3.2</v>
      </c>
      <c r="U35" s="8" t="n">
        <f aca="false">ROUND(0.2*P35+0.25*Q35+0.25*R35+0.3*T35,1)</f>
        <v>2.1</v>
      </c>
      <c r="Y35" s="10" t="s">
        <v>21</v>
      </c>
    </row>
    <row r="36" customFormat="false" ht="15" hidden="false" customHeight="false" outlineLevel="0" collapsed="false">
      <c r="A36" s="11"/>
      <c r="B36" s="12"/>
      <c r="C36" s="12" t="n">
        <v>225224730</v>
      </c>
      <c r="D36" s="12"/>
      <c r="E36" s="12" t="n">
        <v>3.5</v>
      </c>
      <c r="F36" s="12"/>
      <c r="G36" s="12"/>
      <c r="H36" s="12" t="n">
        <v>3.8</v>
      </c>
      <c r="I36" s="12" t="n">
        <v>3.5</v>
      </c>
      <c r="J36" s="12"/>
      <c r="K36" s="12"/>
      <c r="L36" s="12"/>
      <c r="M36" s="12"/>
      <c r="N36" s="12"/>
      <c r="O36" s="12"/>
      <c r="P36" s="13" t="n">
        <v>4</v>
      </c>
      <c r="Q36" s="13"/>
      <c r="R36" s="13"/>
      <c r="S36" s="12"/>
      <c r="T36" s="14" t="n">
        <f aca="false">ROUND(0.5*AVERAGE(E36:G36)+0.3*S36+0.2*AVERAGE(H36:J36),1)</f>
        <v>2.5</v>
      </c>
      <c r="U36" s="14" t="n">
        <f aca="false">ROUND(0.2*P36+0.25*Q36+0.25*R36+0.3*T36,1)</f>
        <v>1.6</v>
      </c>
      <c r="Y36" s="10" t="s">
        <v>21</v>
      </c>
    </row>
    <row r="37" customFormat="false" ht="16.15" hidden="false" customHeight="false" outlineLevel="0" collapsed="false">
      <c r="A37" s="15"/>
      <c r="B37" s="16"/>
      <c r="C37" s="16" t="n">
        <v>222361761</v>
      </c>
      <c r="D37" s="16"/>
      <c r="E37" s="16" t="n">
        <v>7</v>
      </c>
      <c r="F37" s="16"/>
      <c r="G37" s="16"/>
      <c r="H37" s="16" t="n">
        <v>6.3</v>
      </c>
      <c r="I37" s="16" t="n">
        <v>7</v>
      </c>
      <c r="J37" s="16"/>
      <c r="K37" s="16"/>
      <c r="L37" s="16"/>
      <c r="M37" s="16"/>
      <c r="N37" s="16"/>
      <c r="O37" s="16"/>
      <c r="P37" s="7" t="n">
        <v>4.8</v>
      </c>
      <c r="Q37" s="7"/>
      <c r="R37" s="7"/>
      <c r="S37" s="16"/>
      <c r="T37" s="8" t="n">
        <f aca="false">ROUND(0.5*AVERAGE(E37:G37)+0.3*S37+0.2*AVERAGE(H37:J37),1)</f>
        <v>4.8</v>
      </c>
      <c r="U37" s="8" t="n">
        <f aca="false">ROUND(0.2*P37+0.25*Q37+0.25*R37+0.3*T37,1)</f>
        <v>2.4</v>
      </c>
      <c r="Y37" s="10" t="s">
        <v>21</v>
      </c>
    </row>
    <row r="38" customFormat="false" ht="16.15" hidden="false" customHeight="false" outlineLevel="0" collapsed="false">
      <c r="A38" s="11"/>
      <c r="B38" s="12"/>
      <c r="C38" s="12" t="n">
        <v>224747896</v>
      </c>
      <c r="D38" s="12"/>
      <c r="E38" s="12" t="n">
        <v>2.4</v>
      </c>
      <c r="F38" s="12"/>
      <c r="G38" s="12"/>
      <c r="H38" s="12" t="n">
        <v>3</v>
      </c>
      <c r="I38" s="12" t="n">
        <v>4.8</v>
      </c>
      <c r="J38" s="12"/>
      <c r="K38" s="12"/>
      <c r="L38" s="12"/>
      <c r="M38" s="12"/>
      <c r="N38" s="12"/>
      <c r="O38" s="12"/>
      <c r="P38" s="13" t="n">
        <v>2.9</v>
      </c>
      <c r="Q38" s="13"/>
      <c r="R38" s="13"/>
      <c r="S38" s="12"/>
      <c r="T38" s="14" t="n">
        <f aca="false">ROUND(0.5*AVERAGE(E38:G38)+0.3*S38+0.2*AVERAGE(H38:J38),1)</f>
        <v>2</v>
      </c>
      <c r="U38" s="14" t="n">
        <f aca="false">ROUND(0.2*P38+0.25*Q38+0.25*R38+0.3*T38,1)</f>
        <v>1.2</v>
      </c>
      <c r="Y38" s="10" t="s">
        <v>21</v>
      </c>
    </row>
    <row r="39" customFormat="false" ht="16.15" hidden="false" customHeight="false" outlineLevel="0" collapsed="false">
      <c r="A39" s="15"/>
      <c r="B39" s="16"/>
      <c r="C39" s="16" t="n">
        <v>225082715</v>
      </c>
      <c r="D39" s="16"/>
      <c r="E39" s="16" t="n">
        <v>1.5</v>
      </c>
      <c r="F39" s="16"/>
      <c r="G39" s="16"/>
      <c r="H39" s="16" t="n">
        <v>5.9</v>
      </c>
      <c r="I39" s="16" t="n">
        <v>5.5</v>
      </c>
      <c r="J39" s="16"/>
      <c r="K39" s="16"/>
      <c r="L39" s="16"/>
      <c r="M39" s="16"/>
      <c r="N39" s="16"/>
      <c r="O39" s="16"/>
      <c r="P39" s="7" t="n">
        <v>5.8</v>
      </c>
      <c r="Q39" s="7"/>
      <c r="R39" s="7"/>
      <c r="S39" s="16"/>
      <c r="T39" s="8" t="n">
        <f aca="false">ROUND(0.5*AVERAGE(E39:G39)+0.3*S39+0.2*AVERAGE(H39:J39),1)</f>
        <v>1.9</v>
      </c>
      <c r="U39" s="8" t="n">
        <f aca="false">ROUND(0.2*P39+0.25*Q39+0.25*R39+0.3*T39,1)</f>
        <v>1.7</v>
      </c>
      <c r="Y39" s="10" t="s">
        <v>21</v>
      </c>
    </row>
    <row r="40" customFormat="false" ht="16.15" hidden="false" customHeight="false" outlineLevel="0" collapsed="false">
      <c r="A40" s="11"/>
      <c r="B40" s="12"/>
      <c r="C40" s="12" t="n">
        <v>224131615</v>
      </c>
      <c r="D40" s="12"/>
      <c r="E40" s="12" t="n">
        <v>5.5</v>
      </c>
      <c r="F40" s="12"/>
      <c r="G40" s="12"/>
      <c r="H40" s="12" t="n">
        <v>3.8</v>
      </c>
      <c r="I40" s="12" t="n">
        <v>3.5</v>
      </c>
      <c r="J40" s="12"/>
      <c r="K40" s="12"/>
      <c r="L40" s="12"/>
      <c r="M40" s="12"/>
      <c r="N40" s="12"/>
      <c r="O40" s="12"/>
      <c r="P40" s="13" t="n">
        <v>2.8</v>
      </c>
      <c r="Q40" s="13"/>
      <c r="R40" s="13"/>
      <c r="S40" s="12"/>
      <c r="T40" s="14" t="n">
        <f aca="false">ROUND(0.5*AVERAGE(E40:G40)+0.3*S40+0.2*AVERAGE(H40:J40),1)</f>
        <v>3.5</v>
      </c>
      <c r="U40" s="14" t="n">
        <f aca="false">ROUND(0.2*P40+0.25*Q40+0.25*R40+0.3*T40,1)</f>
        <v>1.6</v>
      </c>
      <c r="Y40" s="10" t="s">
        <v>21</v>
      </c>
    </row>
    <row r="41" customFormat="false" ht="16.15" hidden="false" customHeight="false" outlineLevel="0" collapsed="false">
      <c r="A41" s="5"/>
      <c r="B41" s="7"/>
      <c r="C41" s="7" t="n">
        <v>210488294</v>
      </c>
      <c r="D41" s="7"/>
      <c r="E41" s="7" t="n">
        <v>4.8</v>
      </c>
      <c r="F41" s="7"/>
      <c r="G41" s="7"/>
      <c r="H41" s="7" t="n">
        <v>4.8</v>
      </c>
      <c r="I41" s="7" t="n">
        <v>6.6</v>
      </c>
      <c r="J41" s="7"/>
      <c r="K41" s="7"/>
      <c r="L41" s="7"/>
      <c r="M41" s="7"/>
      <c r="N41" s="7"/>
      <c r="O41" s="7"/>
      <c r="P41" s="7" t="n">
        <v>4.2</v>
      </c>
      <c r="Q41" s="7"/>
      <c r="R41" s="7"/>
      <c r="S41" s="7"/>
      <c r="T41" s="8" t="n">
        <f aca="false">ROUND(0.5*AVERAGE(E41:G41)+0.3*S41+0.2*AVERAGE(H41:J41),1)</f>
        <v>3.5</v>
      </c>
      <c r="U41" s="8" t="n">
        <f aca="false">ROUND(0.2*P41+0.25*Q41+0.25*R41+0.3*T41,1)</f>
        <v>1.9</v>
      </c>
      <c r="Y41" s="10" t="s">
        <v>21</v>
      </c>
    </row>
  </sheetData>
  <conditionalFormatting sqref="E3:J41">
    <cfRule type="cellIs" priority="2" operator="lessThan" aboveAverage="0" equalAverage="0" bottom="0" percent="0" rank="0" text="" dxfId="0">
      <formula>4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141</TotalTime>
  <Application>LibreOffice/26.8.1.1$Linux_X86_64 LibreOffice_project/680$Build-1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2026-08-11T13:14:57Z</dcterms:created>
  <dc:creator/>
  <dc:description/>
  <dc:language>en-US</dc:language>
  <cp:lastModifiedBy/>
  <dcterms:modified xsi:type="dcterms:W3CDTF">2026-10-19T09:23:15Z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